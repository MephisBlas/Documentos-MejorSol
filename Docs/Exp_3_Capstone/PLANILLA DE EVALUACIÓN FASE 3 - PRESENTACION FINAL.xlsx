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se 3\Seccion-005\Grupo 8 MejorSol\Evidencias grupales\"/>
    </mc:Choice>
  </mc:AlternateContent>
  <xr:revisionPtr revIDLastSave="0" documentId="13_ncr:1_{2F41BB6D-E372-446D-BFA0-060488DD6D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E17" i="1"/>
  <c r="D18" i="1"/>
  <c r="E18" i="1" s="1"/>
  <c r="D19" i="1"/>
  <c r="E19" i="1" s="1"/>
  <c r="G17" i="1" l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<sst xmlns="http://schemas.openxmlformats.org/spreadsheetml/2006/main" count="165" uniqueCount="67">
  <si>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</si>
  <si>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</si>
  <si>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</si>
  <si>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</si>
  <si>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</si>
  <si>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</si>
  <si>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</si>
  <si>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</si>
  <si>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</si>
  <si>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</si>
  <si>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</si>
  <si>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</si>
  <si>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</si>
  <si>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</si>
  <si>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</si>
  <si>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</si>
  <si>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</si>
  <si>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</si>
  <si>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</si>
  <si>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</si>
  <si>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</si>
  <si>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</si>
  <si>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</si>
  <si>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</si>
  <si>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</si>
  <si>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</si>
  <si>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</si>
  <si>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</si>
  <si>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</si>
  <si>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</si>
  <si>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</si>
  <si>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</si>
  <si>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</si>
  <si>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</si>
  <si>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</si>
  <si>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</si>
  <si>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</si>
  <si>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</si>
  <si>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</si>
  <si>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</si>
  <si>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</si>
  <si>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</si>
  <si>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</si>
  <si>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</si>
  <si>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</si>
  <si>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</si>
  <si>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</si>
  <si>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</si>
  <si>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</si>
  <si>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</si>
  <si>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</si>
  <si>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</si>
  <si>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</si>
  <si>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</si>
  <si>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</si>
  <si>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</si>
  <si>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</si>
  <si>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</si>
  <si>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</si>
  <si>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</si>
  <si>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</si>
  <si>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</si>
  <si>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</si>
  <si>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Fernando Cisternas</t>
  </si>
  <si>
    <t>Isai Farias</t>
  </si>
  <si>
    <t>Erick Toledo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</si>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</sst>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3" fillId="0" borderId="0" xfId="0" applyFont="1" applyAlignment="1">
      <alignment horizontal="left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2" zoomScale="80" zoomScaleNormal="80" workbookViewId="0">
      <selection activeCell="F17" sqref="F17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4" x14ac:dyDescent="0.3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4" x14ac:dyDescent="0.3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7" spans="1:11" ht="15" customHeight="1" x14ac:dyDescent="0.3">
      <c r="B7" s="39"/>
    </row>
    <row r="11" spans="1:11" ht="18" outlineLevel="1" x14ac:dyDescent="0.3">
      <c r="A11" s="40" t="s">
        <v>4</v>
      </c>
      <c r="B11" s="11" t="str">
        <f>B4</f>
        <v>Fernando Cisternas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ht="14.4" outlineLevel="1" x14ac:dyDescent="0.3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3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">
        <v>66</v>
      </c>
      <c r="E17" s="12">
        <f>IF(D17="X",100*0.05,"")</f>
        <v>5</v>
      </c>
      <c r="F17" s="12"/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1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3"/>
      <c r="B21" s="21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0" t="s">
        <v>4</v>
      </c>
      <c r="B24" s="11" t="str">
        <f>B5</f>
        <v>Isai Farias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3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3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1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3"/>
      <c r="B34" s="21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0" t="s">
        <v>4</v>
      </c>
      <c r="B37" s="11" t="str">
        <f>B6</f>
        <v>Erick Toledo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3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3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1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3"/>
      <c r="B47" s="21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9" t="s">
        <v>14</v>
      </c>
      <c r="B50" s="11" t="str">
        <f>B4</f>
        <v>Fernando Cisternas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3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3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1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3"/>
      <c r="B60" s="21" t="s">
        <v>13</v>
      </c>
      <c r="C60" s="14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9" t="s">
        <v>15</v>
      </c>
      <c r="B63" s="11" t="str">
        <f>B5</f>
        <v>Isai Farias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3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3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1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3"/>
      <c r="B73" s="21" t="s">
        <v>13</v>
      </c>
      <c r="C73" s="14">
        <f>VLOOKUP(C72,ESCALA_IEP!A54:B254,2,FALSE)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9" t="s">
        <v>16</v>
      </c>
      <c r="B76" s="11" t="str">
        <f>B6</f>
        <v>Erick Toledo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3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3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1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3"/>
      <c r="B86" s="21" t="s">
        <v>13</v>
      </c>
      <c r="C86" s="14">
        <f>VLOOKUP(C85,ESCALA_IEP!A67:B267,2,FALSE)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3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3">
      <c r="A3" s="51"/>
      <c r="B3" s="56"/>
      <c r="C3" s="56"/>
      <c r="D3" s="27">
        <v>0.3</v>
      </c>
      <c r="E3" s="27">
        <v>0</v>
      </c>
      <c r="F3" s="51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7" t="s">
        <v>60</v>
      </c>
      <c r="B1" s="4" t="s">
        <v>12</v>
      </c>
      <c r="C1" s="5"/>
      <c r="D1" s="5"/>
      <c r="E1" s="6"/>
    </row>
    <row r="2" spans="1:5" ht="43.8" thickBot="1" x14ac:dyDescent="0.35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Cristian Molina P.</cp:lastModifiedBy>
  <cp:revision/>
  <dcterms:created xsi:type="dcterms:W3CDTF">2023-08-07T04:08:01Z</dcterms:created>
  <dcterms:modified xsi:type="dcterms:W3CDTF">2025-11-28T23:05:18Z</dcterms:modified>
  <cp:category/>
  <cp:contentStatus/>
</cp:coreProperties>
</file>